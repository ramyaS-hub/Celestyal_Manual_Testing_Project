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gar\OneDrive\Desktop\Celestyal Project\"/>
    </mc:Choice>
  </mc:AlternateContent>
  <xr:revisionPtr revIDLastSave="0" documentId="13_ncr:1_{E10EA9F5-DEA9-4487-B3D1-B06BA2E74B75}" xr6:coauthVersionLast="47" xr6:coauthVersionMax="47" xr10:uidLastSave="{00000000-0000-0000-0000-000000000000}"/>
  <bookViews>
    <workbookView xWindow="240" yWindow="1188" windowWidth="22800" windowHeight="117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G11" i="1"/>
  <c r="G12" i="1" s="1"/>
  <c r="F11" i="1"/>
  <c r="F12" i="1" s="1"/>
  <c r="E11" i="1"/>
  <c r="E12" i="1" s="1"/>
  <c r="D11" i="1"/>
  <c r="D12" i="1" s="1"/>
  <c r="C11" i="1"/>
  <c r="C12" i="1" s="1"/>
  <c r="B11" i="1"/>
  <c r="H12" i="1" s="1"/>
</calcChain>
</file>

<file path=xl/sharedStrings.xml><?xml version="1.0" encoding="utf-8"?>
<sst xmlns="http://schemas.openxmlformats.org/spreadsheetml/2006/main" count="38" uniqueCount="34">
  <si>
    <t>Test Case Execution &amp; Defects Summary:</t>
  </si>
  <si>
    <t>Module</t>
  </si>
  <si>
    <t>Total TC's</t>
  </si>
  <si>
    <t>Executed</t>
  </si>
  <si>
    <t>Passed</t>
  </si>
  <si>
    <t>Failed</t>
  </si>
  <si>
    <t>Blocked</t>
  </si>
  <si>
    <t>Hold</t>
  </si>
  <si>
    <t>Pending to Execute</t>
  </si>
  <si>
    <t>Defect #</t>
  </si>
  <si>
    <t>Remarks</t>
  </si>
  <si>
    <t>Flight Search</t>
  </si>
  <si>
    <t>Flight Filter</t>
  </si>
  <si>
    <t>Hotel Search</t>
  </si>
  <si>
    <t>Defect found while selecting hotel</t>
  </si>
  <si>
    <t>Hotel Filter</t>
  </si>
  <si>
    <t>Enquiry</t>
  </si>
  <si>
    <t>Booking payment</t>
  </si>
  <si>
    <t>Total</t>
  </si>
  <si>
    <t>Percentage</t>
  </si>
  <si>
    <t>Defect Metrics</t>
  </si>
  <si>
    <t>Module/Severity/Priority</t>
  </si>
  <si>
    <t>Highest</t>
  </si>
  <si>
    <t>High</t>
  </si>
  <si>
    <t>Medium</t>
  </si>
  <si>
    <t>Low</t>
  </si>
  <si>
    <t>Total Open</t>
  </si>
  <si>
    <t>Total Closed</t>
  </si>
  <si>
    <t>Defects</t>
  </si>
  <si>
    <t>Hotel Booking</t>
  </si>
  <si>
    <t>Defect found in Select button functionality</t>
  </si>
  <si>
    <t>Flight Booking</t>
  </si>
  <si>
    <t>No defects found</t>
  </si>
  <si>
    <t>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</si>
</sst>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222222"/>
      <name val="Arial"/>
      <family val="2"/>
    </font>
    <font>
      <b/>
      <sz val="12"/>
      <color rgb="FFFFFFFF"/>
      <name val="Arial"/>
      <family val="2"/>
    </font>
    <font>
      <sz val="12"/>
      <color rgb="FF212121"/>
      <name val="Arial"/>
      <family val="2"/>
    </font>
    <font>
      <sz val="12"/>
      <color rgb="FF000000"/>
      <name val="Arial"/>
      <family val="2"/>
    </font>
    <font>
      <sz val="12"/>
      <color rgb="FFFFFFFF"/>
      <name val="Arial"/>
      <family val="2"/>
    </font>
    <font>
      <sz val="12"/>
      <color rgb="FF222222"/>
      <name val="Arial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horizontal="left" vertical="top"/>
    </xf>
    <xf numFmtId="0" fontId="4" fillId="5" borderId="7" xfId="0" applyFont="1" applyFill="1" applyBorder="1" applyAlignment="1">
      <alignment horizontal="left" vertical="top" wrapText="1"/>
    </xf>
    <xf numFmtId="0" fontId="4" fillId="4" borderId="7" xfId="0" applyFont="1" applyFill="1" applyBorder="1" applyAlignment="1">
      <alignment horizontal="left" vertical="top"/>
    </xf>
    <xf numFmtId="0" fontId="4" fillId="5" borderId="7" xfId="0" applyFont="1" applyFill="1" applyBorder="1" applyAlignment="1">
      <alignment vertical="top" wrapText="1"/>
    </xf>
    <xf numFmtId="0" fontId="2" fillId="3" borderId="5" xfId="0" applyFont="1" applyFill="1" applyBorder="1" applyAlignment="1">
      <alignment wrapText="1"/>
    </xf>
    <xf numFmtId="0" fontId="2" fillId="3" borderId="7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wrapText="1"/>
    </xf>
    <xf numFmtId="9" fontId="2" fillId="3" borderId="7" xfId="0" applyNumberFormat="1" applyFont="1" applyFill="1" applyBorder="1" applyAlignment="1">
      <alignment horizontal="center" wrapText="1"/>
    </xf>
    <xf numFmtId="1" fontId="5" fillId="3" borderId="7" xfId="0" applyNumberFormat="1" applyFont="1" applyFill="1" applyBorder="1" applyAlignment="1">
      <alignment horizontal="center" wrapText="1"/>
    </xf>
    <xf numFmtId="1" fontId="2" fillId="3" borderId="7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top" wrapText="1"/>
    </xf>
    <xf numFmtId="0" fontId="2" fillId="3" borderId="11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6" xfId="0" applyBorder="1" applyAlignment="1">
      <alignment vertical="center" wrapText="1"/>
    </xf>
    <xf numFmtId="0" fontId="6" fillId="4" borderId="1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left" vertical="top"/>
    </xf>
    <xf numFmtId="0" fontId="4" fillId="5" borderId="7" xfId="0" applyFont="1" applyFill="1" applyBorder="1" applyAlignment="1">
      <alignment vertical="top"/>
    </xf>
    <xf numFmtId="0" fontId="3" fillId="4" borderId="6" xfId="0" applyFont="1" applyFill="1" applyBorder="1" applyAlignment="1">
      <alignment horizontal="center" vertical="top"/>
    </xf>
    <xf numFmtId="0" fontId="0" fillId="0" borderId="6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H23" sqref="H23"/>
    </sheetView>
  </sheetViews>
  <sheetFormatPr defaultRowHeight="14.4" x14ac:dyDescent="0.3"/>
  <cols>
    <col min="1" max="1" width="25.88671875" customWidth="1"/>
    <col min="2" max="2" width="15.21875" customWidth="1"/>
    <col min="3" max="3" width="11.88671875" customWidth="1"/>
    <col min="5" max="5" width="13" customWidth="1"/>
    <col min="6" max="6" width="16.88671875" customWidth="1"/>
    <col min="7" max="7" width="17.88671875" customWidth="1"/>
    <col min="8" max="8" width="35.109375" customWidth="1"/>
    <col min="9" max="9" width="18.44140625" customWidth="1"/>
    <col min="10" max="10" width="34.109375" customWidth="1"/>
  </cols>
  <sheetData>
    <row r="1" spans="1:10" ht="16.2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15" thickBot="1" x14ac:dyDescent="0.35">
      <c r="A3" s="3"/>
      <c r="B3" s="4"/>
      <c r="C3" s="5"/>
      <c r="D3" s="5"/>
      <c r="E3" s="5"/>
      <c r="F3" s="5"/>
      <c r="G3" s="5"/>
      <c r="H3" s="5"/>
      <c r="I3" s="5"/>
      <c r="J3" s="5"/>
    </row>
    <row r="4" spans="1:10" ht="30.6" thickBot="1" x14ac:dyDescent="0.35">
      <c r="A4" s="6" t="s">
        <v>11</v>
      </c>
      <c r="B4" s="7">
        <v>5</v>
      </c>
      <c r="C4" s="7">
        <v>5</v>
      </c>
      <c r="D4" s="7">
        <v>5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8"/>
    </row>
    <row r="5" spans="1:10" ht="15.6" thickBot="1" x14ac:dyDescent="0.35">
      <c r="A5" s="6" t="s">
        <v>12</v>
      </c>
      <c r="B5" s="9">
        <v>5</v>
      </c>
      <c r="C5" s="9">
        <v>5</v>
      </c>
      <c r="D5" s="9">
        <v>5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10"/>
    </row>
    <row r="6" spans="1:10" ht="15.6" thickBot="1" x14ac:dyDescent="0.35">
      <c r="A6" s="35" t="s">
        <v>13</v>
      </c>
      <c r="B6" s="9">
        <v>3</v>
      </c>
      <c r="C6" s="9">
        <v>3</v>
      </c>
      <c r="D6" s="9">
        <v>2</v>
      </c>
      <c r="E6" s="9">
        <v>1</v>
      </c>
      <c r="F6" s="9">
        <v>0</v>
      </c>
      <c r="G6" s="9">
        <v>0</v>
      </c>
      <c r="H6" s="9">
        <v>0</v>
      </c>
      <c r="I6" s="9">
        <v>1</v>
      </c>
      <c r="J6" s="36" t="s">
        <v>14</v>
      </c>
    </row>
    <row r="7" spans="1:10" ht="15.6" thickBot="1" x14ac:dyDescent="0.35">
      <c r="A7" s="6" t="s">
        <v>15</v>
      </c>
      <c r="B7" s="9">
        <v>4</v>
      </c>
      <c r="C7" s="9">
        <v>4</v>
      </c>
      <c r="D7" s="9">
        <v>4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10"/>
    </row>
    <row r="8" spans="1:10" ht="15.6" thickBot="1" x14ac:dyDescent="0.35">
      <c r="A8" s="6" t="s">
        <v>16</v>
      </c>
      <c r="B8" s="9">
        <v>3</v>
      </c>
      <c r="C8" s="9">
        <v>3</v>
      </c>
      <c r="D8" s="9">
        <v>3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10"/>
    </row>
    <row r="9" spans="1:10" ht="15.6" thickBot="1" x14ac:dyDescent="0.35">
      <c r="A9" s="35" t="s">
        <v>17</v>
      </c>
      <c r="B9" s="9">
        <v>2</v>
      </c>
      <c r="C9" s="9">
        <v>2</v>
      </c>
      <c r="D9" s="9">
        <v>2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36"/>
    </row>
    <row r="10" spans="1:10" ht="15.6" thickBot="1" x14ac:dyDescent="0.35">
      <c r="A10" s="6"/>
      <c r="B10" s="9"/>
      <c r="C10" s="9"/>
      <c r="D10" s="9"/>
      <c r="E10" s="9"/>
      <c r="F10" s="9"/>
      <c r="G10" s="9"/>
      <c r="H10" s="9"/>
      <c r="I10" s="9"/>
      <c r="J10" s="10"/>
    </row>
    <row r="11" spans="1:10" ht="16.2" thickBot="1" x14ac:dyDescent="0.35">
      <c r="A11" s="11" t="s">
        <v>18</v>
      </c>
      <c r="B11" s="12">
        <f>B4+B5+B6+B7+B8+B9</f>
        <v>22</v>
      </c>
      <c r="C11" s="12">
        <f>C4+C5+C6+C7+C8+C9</f>
        <v>22</v>
      </c>
      <c r="D11" s="13">
        <f>D4+D5+D6+D7+D8+D9</f>
        <v>21</v>
      </c>
      <c r="E11" s="12">
        <f>E4+E5+E6+E7+E8+E9</f>
        <v>1</v>
      </c>
      <c r="F11" s="12">
        <f t="shared" ref="F11:G11" si="0">F4+F5+F6</f>
        <v>0</v>
      </c>
      <c r="G11" s="12">
        <f t="shared" si="0"/>
        <v>0</v>
      </c>
      <c r="H11" s="12">
        <v>0</v>
      </c>
      <c r="I11" s="13">
        <f>I4+I5+I6</f>
        <v>1</v>
      </c>
      <c r="J11" s="14"/>
    </row>
    <row r="12" spans="1:10" ht="31.8" thickBot="1" x14ac:dyDescent="0.35">
      <c r="A12" s="11" t="s">
        <v>19</v>
      </c>
      <c r="B12" s="15">
        <v>1</v>
      </c>
      <c r="C12" s="12">
        <f>C11/B11*100</f>
        <v>100</v>
      </c>
      <c r="D12" s="16">
        <f>D11/C11*100</f>
        <v>95.454545454545453</v>
      </c>
      <c r="E12" s="17">
        <f>E11/C11*100</f>
        <v>4.5454545454545459</v>
      </c>
      <c r="F12" s="17">
        <f>F11/C11*100</f>
        <v>0</v>
      </c>
      <c r="G12" s="12">
        <f>G11/B11*100</f>
        <v>0</v>
      </c>
      <c r="H12" s="12">
        <f>H11/B11*100</f>
        <v>0</v>
      </c>
      <c r="I12" s="12"/>
      <c r="J12" s="14"/>
    </row>
    <row r="13" spans="1:10" ht="16.2" thickBot="1" x14ac:dyDescent="0.35">
      <c r="A13" s="18"/>
    </row>
    <row r="14" spans="1:10" ht="16.2" thickBot="1" x14ac:dyDescent="0.35">
      <c r="A14" s="19" t="s">
        <v>20</v>
      </c>
      <c r="B14" s="20"/>
      <c r="C14" s="20"/>
      <c r="D14" s="20"/>
      <c r="E14" s="20"/>
      <c r="F14" s="20"/>
      <c r="G14" s="20"/>
      <c r="H14" s="21"/>
    </row>
    <row r="15" spans="1:10" ht="31.2" x14ac:dyDescent="0.3">
      <c r="A15" s="22" t="s">
        <v>21</v>
      </c>
      <c r="B15" s="22" t="s">
        <v>22</v>
      </c>
      <c r="C15" s="22" t="s">
        <v>23</v>
      </c>
      <c r="D15" s="22" t="s">
        <v>24</v>
      </c>
      <c r="E15" s="22" t="s">
        <v>25</v>
      </c>
      <c r="F15" s="23" t="s">
        <v>26</v>
      </c>
      <c r="G15" s="24" t="s">
        <v>27</v>
      </c>
      <c r="H15" s="22" t="s">
        <v>10</v>
      </c>
    </row>
    <row r="16" spans="1:10" ht="16.2" thickBot="1" x14ac:dyDescent="0.35">
      <c r="A16" s="25"/>
      <c r="B16" s="25"/>
      <c r="C16" s="25"/>
      <c r="D16" s="25"/>
      <c r="E16" s="25"/>
      <c r="F16" s="26" t="s">
        <v>28</v>
      </c>
      <c r="G16" s="12" t="s">
        <v>28</v>
      </c>
      <c r="H16" s="27"/>
    </row>
    <row r="17" spans="1:8" ht="16.2" thickBot="1" x14ac:dyDescent="0.35">
      <c r="A17" s="37" t="s">
        <v>29</v>
      </c>
      <c r="B17" s="29">
        <v>0</v>
      </c>
      <c r="C17" s="29">
        <v>0</v>
      </c>
      <c r="D17" s="29">
        <v>1</v>
      </c>
      <c r="E17" s="29">
        <v>0</v>
      </c>
      <c r="F17" s="29">
        <v>1</v>
      </c>
      <c r="G17" s="30">
        <v>0</v>
      </c>
      <c r="H17" s="38" t="s">
        <v>30</v>
      </c>
    </row>
    <row r="18" spans="1:8" ht="16.2" thickBot="1" x14ac:dyDescent="0.35">
      <c r="A18" s="28" t="s">
        <v>31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32">
        <v>0</v>
      </c>
      <c r="H18" s="31" t="s">
        <v>32</v>
      </c>
    </row>
    <row r="19" spans="1:8" ht="16.2" thickBot="1" x14ac:dyDescent="0.35">
      <c r="A19" s="37" t="s">
        <v>33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30">
        <v>0</v>
      </c>
      <c r="H19" s="33" t="s">
        <v>32</v>
      </c>
    </row>
    <row r="20" spans="1:8" ht="16.2" thickBot="1" x14ac:dyDescent="0.35">
      <c r="A20" s="34" t="s">
        <v>18</v>
      </c>
      <c r="B20" s="29">
        <v>0</v>
      </c>
      <c r="C20" s="29">
        <v>0</v>
      </c>
      <c r="D20" s="29">
        <v>1</v>
      </c>
      <c r="E20" s="29">
        <v>0</v>
      </c>
      <c r="F20" s="29">
        <v>1</v>
      </c>
      <c r="G20" s="29">
        <v>0</v>
      </c>
      <c r="H20" s="29"/>
    </row>
  </sheetData>
  <mergeCells count="18">
    <mergeCell ref="J2:J3"/>
    <mergeCell ref="A14:H14"/>
    <mergeCell ref="A15:A16"/>
    <mergeCell ref="B15:B16"/>
    <mergeCell ref="C15:C16"/>
    <mergeCell ref="D15:D16"/>
    <mergeCell ref="E15:E16"/>
    <mergeCell ref="H15:H16"/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RAMYA SIRASAPALLI</cp:lastModifiedBy>
  <dcterms:created xsi:type="dcterms:W3CDTF">2015-06-05T18:17:20Z</dcterms:created>
  <dcterms:modified xsi:type="dcterms:W3CDTF">2026-05-05T08:14:57Z</dcterms:modified>
</cp:coreProperties>
</file>